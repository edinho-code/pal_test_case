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a3586ee80c4f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ount Context" sheetId="1" r:id="R4a5f7b59820c4081"/>
    <x:sheet xmlns:r="http://schemas.openxmlformats.org/officeDocument/2006/relationships" name="Field Guide" sheetId="2" r:id="R791df0143cc34e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$&quot;#,##0.00"/>
    <x:numFmt numFmtId="201" formatCode="0.0%;[Red]-0.0%"/>
  </x:numFmts>
  <x:fonts count="7">
    <x:font>
      <x:sz val="11"/>
      <x:name val="Carlito"/>
    </x:font>
    <x:font>
      <x:b/>
      <x:sz val="16"/>
      <x:color rgb="FF18352D"/>
      <x:name val="Arial"/>
    </x:font>
    <x:font>
      <x:i/>
      <x:sz val="9"/>
      <x:color rgb="FF6F7E74"/>
      <x:name val="Arial"/>
    </x:font>
    <x:font>
      <x:b/>
      <x:sz val="9"/>
      <x:color rgb="FFFFFFFF"/>
      <x:name val="Arial"/>
    </x:font>
    <x:font>
      <x:sz val="9"/>
      <x:color rgb="FF34483C"/>
      <x:name val="Arial"/>
    </x:font>
    <x:font>
      <x:b/>
      <x:sz val="10"/>
      <x:color rgb="FF285640"/>
      <x:name val="Arial"/>
    </x:font>
    <x:font>
      <x:sz val="9"/>
      <x:color rgb="FF52675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85640"/>
      </x:patternFill>
    </x:fill>
    <x:fill>
      <x:patternFill patternType="solid">
        <x:fgColor rgb="FF607B6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bc8f0d5f094a4a" /><Relationship Type="http://schemas.openxmlformats.org/officeDocument/2006/relationships/theme" Target="/xl/theme/theme1.xml" Id="R07f05043da804611" /><Relationship Type="http://schemas.openxmlformats.org/officeDocument/2006/relationships/sharedStrings" Target="/xl/sharedStrings.xml" Id="R34e033411f684090" /><Relationship Type="http://schemas.openxmlformats.org/officeDocument/2006/relationships/worksheet" Target="/xl/worksheets/sheet1.xml" Id="R4a5f7b59820c4081" /><Relationship Type="http://schemas.openxmlformats.org/officeDocument/2006/relationships/worksheet" Target="/xl/worksheets/sheet2.xml" Id="R791df0143cc34e5f" /></Relationships>
</file>

<file path=xl/tables/table1.xml><?xml version="1.0" encoding="utf-8"?>
<x:table xmlns:x="http://schemas.openxmlformats.org/spreadsheetml/2006/main" id="1" name="AccountContextTable" displayName="AccountContextTable" ref="A4:P13" headerRowCount="1" totalsRowCount="0" totalsRowShown="0">
  <x:autoFilter ref="A4:P13"/>
  <x:tableColumns count="16">
    <x:tableColumn id="1" name="Account ID"/>
    <x:tableColumn id="2" name="Account"/>
    <x:tableColumn id="3" name="Lifecycle Stage"/>
    <x:tableColumn id="4" name="Plan"/>
    <x:tableColumn id="5" name="Monthly Spend (USD; assumed)"/>
    <x:tableColumn id="6" name="Value Proxy"/>
    <x:tableColumn id="7" name="Observed Conversations"/>
    <x:tableColumn id="8" name="Observation Days"/>
    <x:tableColumn id="9" name="Assumed Minutes Saved / Conversation"/>
    <x:tableColumn id="10" name="Assumed Support Cost / Hour (USD)"/>
    <x:tableColumn id="11" name="Estimated Monthly Value (USD)"/>
    <x:tableColumn id="12" name="Estimated ROI"/>
    <x:tableColumn id="13" name="Lifecycle Risk Flag (Illustrative)"/>
    <x:tableColumn id="14" name="Evidence Behind Flag"/>
    <x:tableColumn id="15" name="Churn Probability"/>
    <x:tableColumn id="16" name="Data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de83568cfde490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0" hidden="0" customWidth="1"/>
    <x:col min="3" max="3" width="23" hidden="0" customWidth="1"/>
    <x:col min="4" max="4" width="25" hidden="0" customWidth="1"/>
    <x:col min="5" max="5" width="19" hidden="0" customWidth="1"/>
    <x:col min="6" max="6" width="32" hidden="0" customWidth="1"/>
    <x:col min="7" max="7" width="13" hidden="0" customWidth="1"/>
    <x:col min="8" max="8" width="12" hidden="0" customWidth="1"/>
    <x:col min="9" max="9" width="17" hidden="0" customWidth="1"/>
    <x:col min="10" max="10" width="16" hidden="0" customWidth="1"/>
    <x:col min="11" max="11" width="19" hidden="0" customWidth="1"/>
    <x:col min="12" max="12" width="16" hidden="0" customWidth="1"/>
    <x:col min="13" max="13" width="27" hidden="0" customWidth="1"/>
    <x:col min="14" max="14" width="46" hidden="0" customWidth="1"/>
    <x:col min="15" max="15" width="22" hidden="0" customWidth="1"/>
    <x:col min="16" max="16" width="48" hidden="0" customWidth="1"/>
  </x:cols>
  <x:sheetData>
    <x:row r="1" ht="27" customHeight="1">
      <x:c r="A1" s="1" t="str">
        <x:v>NBA Account Context Guide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4" customHeight="1">
      <x:c r="A2" s="2" t="str">
        <x:v>Synthetic guide only. Scores are hand-assigned examples, not probabilities or predictions; offer terms/eligibility are unverified. These fields do not feed the dashboard or NBA ranking.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4" ht="42" customHeight="1">
      <x:c r="A4" s="6" t="str">
        <x:v>Account ID</x:v>
      </x:c>
      <x:c r="B4" s="6" t="str">
        <x:v>Account</x:v>
      </x:c>
      <x:c r="C4" s="6" t="str">
        <x:v>Lifecycle Stage</x:v>
      </x:c>
      <x:c r="D4" s="6" t="str">
        <x:v>Plan</x:v>
      </x:c>
      <x:c r="E4" s="6" t="str">
        <x:v>Monthly Spend (USD; assumed)</x:v>
      </x:c>
      <x:c r="F4" s="6" t="str">
        <x:v>Value Proxy</x:v>
      </x:c>
      <x:c r="G4" s="6" t="str">
        <x:v>Observed Conversations</x:v>
      </x:c>
      <x:c r="H4" s="6" t="str">
        <x:v>Observation Days</x:v>
      </x:c>
      <x:c r="I4" s="6" t="str">
        <x:v>Assumed Minutes Saved / Conversation</x:v>
      </x:c>
      <x:c r="J4" s="6" t="str">
        <x:v>Assumed Support Cost / Hour (USD)</x:v>
      </x:c>
      <x:c r="K4" s="6" t="str">
        <x:v>Estimated Monthly Value (USD)</x:v>
      </x:c>
      <x:c r="L4" s="6" t="str">
        <x:v>Estimated ROI</x:v>
      </x:c>
      <x:c r="M4" s="6" t="str">
        <x:v>Lifecycle Risk Flag (Illustrative)</x:v>
      </x:c>
      <x:c r="N4" s="6" t="str">
        <x:v>Evidence Behind Flag</x:v>
      </x:c>
      <x:c r="O4" s="6" t="str">
        <x:v>Illustrative Churn-Risk Score (0–100)</x:v>
      </x:c>
      <x:c r="P4" s="6" t="str">
        <x:v>Offer Scenario / Eligibility Notes</x:v>
      </x:c>
    </x:row>
    <x:row r="5" ht="36" customHeight="1">
      <x:c r="A5" s="9" t="str">
        <x:v>northstar</x:v>
      </x:c>
      <x:c r="B5" s="9" t="str">
        <x:v>Northstar Labs</x:v>
      </x:c>
      <x:c r="C5" s="9" t="str">
        <x:v>Setup blocked</x:v>
      </x:c>
      <x:c r="D5" s="9" t="str">
        <x:v>Free evaluation</x:v>
      </x:c>
      <x:c r="E5" s="10" t="n">
        <x:v>0</x:v>
      </x:c>
      <x:c r="F5" s="9" t="str">
        <x:v>Not yet measurable from current demo signals</x:v>
      </x:c>
      <x:c r="G5" s="9"/>
      <x:c r="H5" s="9"/>
      <x:c r="I5" s="9"/>
      <x:c r="J5" s="10"/>
      <x:c r="K5" s="10" t="str">
        <x:f>IF(OR(G5="",H5="",I5="",J5=""),"",G5/H5*30*I5/60*J5)</x:f>
      </x:c>
      <x:c r="L5" s="11" t="str">
        <x:f>IF(E5=0,"Not meaningful (free evaluation)",IF(K5="","Not measurable",(K5-E5)/E5))</x:f>
        <x:v>Not meaningful (free evaluation)</x:v>
      </x:c>
      <x:c r="M5" s="9" t="str">
        <x:v>High: activation blocked</x:v>
      </x:c>
      <x:c r="N5" s="9" t="str">
        <x:v>Three synthetic API authentication failures; connection not confirmed.</x:v>
      </x:c>
      <x:c r="O5" s="9" t="n">
        <x:v>92</x:v>
      </x:c>
      <x:c r="P5" s="9" t="str">
        <x:v>1 free month: recovery example if dissatisfaction remains after fixing API access.</x:v>
      </x:c>
    </x:row>
    <x:row r="6" ht="36" customHeight="1">
      <x:c r="A6" s="9" t="str">
        <x:v>mosaic</x:v>
      </x:c>
      <x:c r="B6" s="9" t="str">
        <x:v>Mosaic Studio</x:v>
      </x:c>
      <x:c r="C6" s="9" t="str">
        <x:v>First conversation</x:v>
      </x:c>
      <x:c r="D6" s="9" t="str">
        <x:v>Free evaluation</x:v>
      </x:c>
      <x:c r="E6" s="10" t="n">
        <x:v>0</x:v>
      </x:c>
      <x:c r="F6" s="9" t="str">
        <x:v>Not yet measurable from current demo signals</x:v>
      </x:c>
      <x:c r="G6" s="9"/>
      <x:c r="H6" s="9"/>
      <x:c r="I6" s="9"/>
      <x:c r="J6" s="10"/>
      <x:c r="K6" s="10" t="str">
        <x:f>IF(OR(G6="",H6="",I6="",J6=""),"",G6/H6*30*I6/60*J6)</x:f>
      </x:c>
      <x:c r="L6" s="11" t="str">
        <x:f>IF(E6=0,"Not meaningful (free evaluation)",IF(K6="","Not measurable",(K6-E6)/E6))</x:f>
        <x:v>Not meaningful (free evaluation)</x:v>
      </x:c>
      <x:c r="M6" s="9" t="str">
        <x:v>Medium: first-value gap</x:v>
      </x:c>
      <x:c r="N6" s="9" t="str">
        <x:v>PAL created; no first conversation is recorded.</x:v>
      </x:c>
      <x:c r="O6" s="9" t="n">
        <x:v>78</x:v>
      </x:c>
      <x:c r="P6" s="9" t="str">
        <x:v>1 free month: only if dissatisfied after recovery (high-risk example).</x:v>
      </x:c>
    </x:row>
    <x:row r="7" ht="36" customHeight="1">
      <x:c r="A7" s="9" t="str">
        <x:v>harbor</x:v>
      </x:c>
      <x:c r="B7" s="9" t="str">
        <x:v>Harbor Support</x:v>
      </x:c>
      <x:c r="C7" s="9" t="str">
        <x:v>Trial credits exhausted</x:v>
      </x:c>
      <x:c r="D7" s="9" t="str">
        <x:v>Free evaluation</x:v>
      </x:c>
      <x:c r="E7" s="10" t="n">
        <x:v>0</x:v>
      </x:c>
      <x:c r="F7" s="9" t="str">
        <x:v>Not yet measurable from current demo signals</x:v>
      </x:c>
      <x:c r="G7" s="9"/>
      <x:c r="H7" s="9"/>
      <x:c r="I7" s="9"/>
      <x:c r="J7" s="10"/>
      <x:c r="K7" s="10" t="str">
        <x:f>IF(OR(G7="",H7="",I7="",J7=""),"",G7/H7*30*I7/60*J7)</x:f>
      </x:c>
      <x:c r="L7" s="11" t="str">
        <x:f>IF(E7=0,"Not meaningful (free evaluation)",IF(K7="","Not measurable",(K7-E7)/E7))</x:f>
        <x:v>Not meaningful (free evaluation)</x:v>
      </x:c>
      <x:c r="M7" s="9" t="str">
        <x:v>High: trial value gap</x:v>
      </x:c>
      <x:c r="N7" s="9" t="str">
        <x:v>Trial minutes exhausted after one conversation before first value.</x:v>
      </x:c>
      <x:c r="O7" s="9" t="n">
        <x:v>96</x:v>
      </x:c>
      <x:c r="P7" s="9" t="str">
        <x:v>1 free month: only after fixing the minutes/value gap if dissatisfaction remains.</x:v>
      </x:c>
    </x:row>
    <x:row r="8" ht="36" customHeight="1">
      <x:c r="A8" s="9" t="str">
        <x:v>beacon</x:v>
      </x:c>
      <x:c r="B8" s="9" t="str">
        <x:v>Beacon Health</x:v>
      </x:c>
      <x:c r="C8" s="9" t="str">
        <x:v>Deployment test</x:v>
      </x:c>
      <x:c r="D8" s="9" t="str">
        <x:v>Free evaluation</x:v>
      </x:c>
      <x:c r="E8" s="10" t="n">
        <x:v>0</x:v>
      </x:c>
      <x:c r="F8" s="9" t="str">
        <x:v>Not yet measurable from current demo signals</x:v>
      </x:c>
      <x:c r="G8" s="9"/>
      <x:c r="H8" s="9"/>
      <x:c r="I8" s="9"/>
      <x:c r="J8" s="10"/>
      <x:c r="K8" s="10" t="str">
        <x:f>IF(OR(G8="",H8="",I8="",J8=""),"",G8/H8*30*I8/60*J8)</x:f>
      </x:c>
      <x:c r="L8" s="11" t="str">
        <x:f>IF(E8=0,"Not meaningful (free evaluation)",IF(K8="","Not measurable",(K8-E8)/E8))</x:f>
        <x:v>Not meaningful (free evaluation)</x:v>
      </x:c>
      <x:c r="M8" s="9" t="str">
        <x:v>Medium: deployment not used</x:v>
      </x:c>
      <x:c r="N8" s="9" t="str">
        <x:v>Hosted deployment published; no conversation is recorded.</x:v>
      </x:c>
      <x:c r="O8" s="9" t="n">
        <x:v>61</x:v>
      </x:c>
      <x:c r="P8" s="9" t="str">
        <x:v>No retention offer selected; validate the deployed journey first.</x:v>
      </x:c>
    </x:row>
    <x:row r="9" ht="36" customHeight="1">
      <x:c r="A9" s="9" t="str">
        <x:v>orbit</x:v>
      </x:c>
      <x:c r="B9" s="9" t="str">
        <x:v>Orbit AI</x:v>
      </x:c>
      <x:c r="C9" s="9" t="str">
        <x:v>Connector setup</x:v>
      </x:c>
      <x:c r="D9" s="9" t="str">
        <x:v>Free evaluation</x:v>
      </x:c>
      <x:c r="E9" s="10" t="n">
        <x:v>0</x:v>
      </x:c>
      <x:c r="F9" s="9" t="str">
        <x:v>Not yet measurable from current demo signals</x:v>
      </x:c>
      <x:c r="G9" s="9"/>
      <x:c r="H9" s="9"/>
      <x:c r="I9" s="9"/>
      <x:c r="J9" s="10"/>
      <x:c r="K9" s="10" t="str">
        <x:f>IF(OR(G9="",H9="",I9="",J9=""),"",G9/H9*30*I9/60*J9)</x:f>
      </x:c>
      <x:c r="L9" s="11" t="str">
        <x:f>IF(E9=0,"Not meaningful (free evaluation)",IF(K9="","Not measurable",(K9-E9)/E9))</x:f>
        <x:v>Not meaningful (free evaluation)</x:v>
      </x:c>
      <x:c r="M9" s="9" t="str">
        <x:v>Medium: connector not activated</x:v>
      </x:c>
      <x:c r="N9" s="9" t="str">
        <x:v>MCP linked; no successful tool call is recorded.</x:v>
      </x:c>
      <x:c r="O9" s="9" t="n">
        <x:v>67</x:v>
      </x:c>
      <x:c r="P9" s="9" t="str">
        <x:v>No retention offer selected; guide the first MCP tool call.</x:v>
      </x:c>
    </x:row>
    <x:row r="10" ht="36" customHeight="1">
      <x:c r="A10" s="9" t="str">
        <x:v>cedar</x:v>
      </x:c>
      <x:c r="B10" s="9" t="str">
        <x:v>Cedar Systems</x:v>
      </x:c>
      <x:c r="C10" s="9" t="str">
        <x:v>First value reached</x:v>
      </x:c>
      <x:c r="D10" s="9" t="str">
        <x:v>Free evaluation</x:v>
      </x:c>
      <x:c r="E10" s="10" t="n">
        <x:v>0</x:v>
      </x:c>
      <x:c r="F10" s="9" t="str">
        <x:v>Not yet measurable from current demo signals</x:v>
      </x:c>
      <x:c r="G10" s="9"/>
      <x:c r="H10" s="9"/>
      <x:c r="I10" s="9"/>
      <x:c r="J10" s="10"/>
      <x:c r="K10" s="10" t="str">
        <x:f>IF(OR(G10="",H10="",I10="",J10=""),"",G10/H10*30*I10/60*J10)</x:f>
      </x:c>
      <x:c r="L10" s="11" t="str">
        <x:f>IF(E10=0,"Not meaningful (free evaluation)",IF(K10="","Not measurable",(K10-E10)/E10))</x:f>
        <x:v>Not meaningful (free evaluation)</x:v>
      </x:c>
      <x:c r="M10" s="9" t="str">
        <x:v>Watch: repeat use unknown</x:v>
      </x:c>
      <x:c r="N10" s="9" t="str">
        <x:v>First useful conversation recorded; repeat use is not yet observed.</x:v>
      </x:c>
      <x:c r="O10" s="9" t="n">
        <x:v>24</x:v>
      </x:c>
      <x:c r="P10" s="9" t="str">
        <x:v>50% off × 2 months: only after first value + explicit upgrade/capacity intent.</x:v>
      </x:c>
    </x:row>
    <x:row r="11" ht="36" customHeight="1">
      <x:c r="A11" s="9" t="str">
        <x:v>fable</x:v>
      </x:c>
      <x:c r="B11" s="9" t="str">
        <x:v>Fable Commerce</x:v>
      </x:c>
      <x:c r="C11" s="9" t="str">
        <x:v>Use case discovery</x:v>
      </x:c>
      <x:c r="D11" s="9" t="str">
        <x:v>Free evaluation</x:v>
      </x:c>
      <x:c r="E11" s="10" t="n">
        <x:v>0</x:v>
      </x:c>
      <x:c r="F11" s="9" t="str">
        <x:v>Not yet measurable from current demo signals</x:v>
      </x:c>
      <x:c r="G11" s="9"/>
      <x:c r="H11" s="9"/>
      <x:c r="I11" s="9"/>
      <x:c r="J11" s="10"/>
      <x:c r="K11" s="10" t="str">
        <x:f>IF(OR(G11="",H11="",I11="",J11=""),"",G11/H11*30*I11/60*J11)</x:f>
      </x:c>
      <x:c r="L11" s="11" t="str">
        <x:f>IF(E11=0,"Not meaningful (free evaluation)",IF(K11="","Not measurable",(K11-E11)/E11))</x:f>
        <x:v>Not meaningful (free evaluation)</x:v>
      </x:c>
      <x:c r="M11" s="9" t="str">
        <x:v>High: activation inactivity</x:v>
      </x:c>
      <x:c r="N11" s="9" t="str">
        <x:v>Seven days without meaningful activity; first value not reached.</x:v>
      </x:c>
      <x:c r="O11" s="9" t="n">
        <x:v>87</x:v>
      </x:c>
      <x:c r="P11" s="9" t="str">
        <x:v>1 free month: only if dissatisfied after help restoring activation.</x:v>
      </x:c>
    </x:row>
    <x:row r="12" ht="36" customHeight="1">
      <x:c r="A12" s="9" t="str">
        <x:v>lighthouse</x:v>
      </x:c>
      <x:c r="B12" s="9" t="str">
        <x:v>Lighthouse Support</x:v>
      </x:c>
      <x:c r="C12" s="9" t="str">
        <x:v>Repeat use · Credits exhausted</x:v>
      </x:c>
      <x:c r="D12" s="9" t="str">
        <x:v>Paid plan · Usage-based</x:v>
      </x:c>
      <x:c r="E12" s="10" t="n">
        <x:v>299</x:v>
      </x:c>
      <x:c r="F12" s="9" t="str">
        <x:v>Potential support labor time saved (scenario only)</x:v>
      </x:c>
      <x:c r="G12" s="9" t="n">
        <x:v>38</x:v>
      </x:c>
      <x:c r="H12" s="9" t="n">
        <x:v>18</x:v>
      </x:c>
      <x:c r="I12" s="9" t="n">
        <x:v>5</x:v>
      </x:c>
      <x:c r="J12" s="10" t="n">
        <x:v>35</x:v>
      </x:c>
      <x:c r="K12" s="10" t="n">
        <x:f>IF(OR(G12="",H12="",I12="",J12=""),"",G12/H12*30*I12/60*J12)</x:f>
        <x:v>184.72222222222223</x:v>
      </x:c>
      <x:c r="L12" s="11" t="n">
        <x:f>IF(E12=0,"Not meaningful (free evaluation)",IF(K12="","Not measurable",(K12-E12)/E12))</x:f>
        <x:v>-0.3821999256781865</x:v>
      </x:c>
      <x:c r="M12" s="9" t="str">
        <x:v>Capacity-fit review</x:v>
      </x:c>
      <x:c r="N12" s="9" t="str">
        <x:v>300 minutes used; plan allowance exhausted after repeat use. This is an expansion signal, not churn evidence.</x:v>
      </x:c>
      <x:c r="O12" s="9" t="n">
        <x:v>29</x:v>
      </x:c>
      <x:c r="P12" s="9" t="str">
        <x:v>Capacity expansion signal, not churn; discuss an upgrade only if asked.</x:v>
      </x:c>
    </x:row>
    <x:row r="13" ht="36" customHeight="1">
      <x:c r="A13" s="9" t="str">
        <x:v>vantage-sdr</x:v>
      </x:c>
      <x:c r="B13" s="9" t="str">
        <x:v>Vantage Sales</x:v>
      </x:c>
      <x:c r="C13" s="9" t="str">
        <x:v>AI SDR performance review</x:v>
      </x:c>
      <x:c r="D13" s="9" t="str">
        <x:v>Paid evaluation</x:v>
      </x:c>
      <x:c r="E13" s="10" t="n">
        <x:v>599</x:v>
      </x:c>
      <x:c r="F13" s="9" t="str">
        <x:v>Qualified-opportunity revenue; missing deal economics</x:v>
      </x:c>
      <x:c r="G13" s="9"/>
      <x:c r="H13" s="9"/>
      <x:c r="I13" s="9"/>
      <x:c r="J13" s="10"/>
      <x:c r="K13" s="10" t="str">
        <x:f>IF(OR(G13="",H13="",I13="",J13=""),"",G13/H13*30*I13/60*J13)</x:f>
      </x:c>
      <x:c r="L13" s="11" t="str">
        <x:f>IF(E13=0,"Not meaningful (free evaluation)",IF(K13="","Not measurable",(K13-E13)/E13))</x:f>
        <x:v>Not measurable</x:v>
      </x:c>
      <x:c r="M13" s="9" t="str">
        <x:v>Outcome review</x:v>
      </x:c>
      <x:c r="N13" s="9" t="str">
        <x:v>Eight qualified opportunities from 54 meetings (14.8%) versus a synthetic 25% target.</x:v>
      </x:c>
      <x:c r="O13" s="9" t="n">
        <x:v>36</x:v>
      </x:c>
      <x:c r="P13" s="9" t="str">
        <x:v>No promotion; investigate qualification results and data quality.</x:v>
      </x:c>
    </x:row>
  </x:sheetData>
  <x:pageMargins left="0.7" right="0.7" top="0.75" bottom="0.75" header="0.3" footer="0.3"/>
  <x:tableParts count="1">
    <x:tablePart xmlns:r="http://schemas.openxmlformats.org/officeDocument/2006/relationships" r:id="R7de83568cfde490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1" hidden="0" customWidth="1"/>
    <x:col min="2" max="2" width="57" hidden="0" customWidth="1"/>
    <x:col min="3" max="3" width="48" hidden="0" customWidth="1"/>
    <x:col min="4" max="4" width="45" hidden="0" customWidth="1"/>
    <x:col min="5" max="5" width="59" hidden="0" customWidth="1"/>
  </x:cols>
  <x:sheetData>
    <x:row r="1" ht="27" customHeight="1">
      <x:c r="A1" s="1" t="str">
        <x:v>Field Guide and Scenario Assumptions</x:v>
      </x:c>
      <x:c r="B1" s="1"/>
      <x:c r="C1" s="1"/>
      <x:c r="D1" s="1"/>
      <x:c r="E1" s="1"/>
    </x:row>
    <x:row r="2" ht="28" customHeight="1">
      <x:c r="A2" s="2" t="str">
        <x:v>Use this offline guide to discuss scenario context. Scores and offers are synthetic examples, not customer facts, calibrated predictions, or approved pricing.</x:v>
      </x:c>
      <x:c r="B2" s="2"/>
      <x:c r="C2" s="2"/>
      <x:c r="D2" s="2"/>
      <x:c r="E2" s="2"/>
    </x:row>
    <x:row r="4" ht="28" customHeight="1">
      <x:c r="A4" s="6" t="str">
        <x:v>Field</x:v>
      </x:c>
      <x:c r="B4" s="6" t="str">
        <x:v>Definition</x:v>
      </x:c>
      <x:c r="C4" s="6" t="str">
        <x:v>Recommended Source</x:v>
      </x:c>
      <x:c r="D4" s="6" t="str">
        <x:v>NBA Use</x:v>
      </x:c>
      <x:c r="E4" s="6" t="str">
        <x:v>Current Limitation</x:v>
      </x:c>
    </x:row>
    <x:row r="5" ht="47" customHeight="1">
      <x:c r="A5" s="9" t="str">
        <x:v>Monthly spend</x:v>
      </x:c>
      <x:c r="B5" s="9" t="str">
        <x:v>Monthly amount charged to the account, in USD.</x:v>
      </x:c>
      <x:c r="C5" s="9" t="str">
        <x:v>Billing system; include currency and billing period.</x:v>
      </x:c>
      <x:c r="D5" s="9" t="str">
        <x:v>Plan fit and account economics.</x:v>
      </x:c>
      <x:c r="E5" s="9" t="str">
        <x:v>Only free-tier status is present in the demo. Paid amounts are hypothetical placeholders.</x:v>
      </x:c>
    </x:row>
    <x:row r="6" ht="47" customHeight="1">
      <x:c r="A6" s="9" t="str">
        <x:v>Usage and allowance</x:v>
      </x:c>
      <x:c r="B6" s="9" t="str">
        <x:v>Usage for a named billing period compared with included plan capacity.</x:v>
      </x:c>
      <x:c r="C6" s="9" t="str">
        <x:v>Usage ledger and authoritative plan entitlement.</x:v>
      </x:c>
      <x:c r="D6" s="9" t="str">
        <x:v>Detect capacity pressure and distinguish temporary spikes from sustained needs.</x:v>
      </x:c>
      <x:c r="E6" s="9" t="str">
        <x:v>Current demo has one cumulative minutes value, not three complete monthly records.</x:v>
      </x:c>
    </x:row>
    <x:row r="7" ht="47" customHeight="1">
      <x:c r="A7" s="9" t="str">
        <x:v>Customer outcome</x:v>
      </x:c>
      <x:c r="B7" s="9" t="str">
        <x:v>Measured outcome tied to the user's stated workflow and observation window.</x:v>
      </x:c>
      <x:c r="C7" s="9" t="str">
        <x:v>Product outcome event, customer confirmation, or approved business system.</x:v>
      </x:c>
      <x:c r="D7" s="9" t="str">
        <x:v>Confirm first value and whether the workflow is useful.</x:v>
      </x:c>
      <x:c r="E7" s="9" t="str">
        <x:v>Conversation counts alone do not prove support deflection or revenue impact.</x:v>
      </x:c>
    </x:row>
    <x:row r="8" ht="47" customHeight="1">
      <x:c r="A8" s="9" t="str">
        <x:v>Estimated monthly value</x:v>
      </x:c>
      <x:c r="B8" s="9" t="str">
        <x:v>A transparent estimate from a specific value proxy and explicit assumptions.</x:v>
      </x:c>
      <x:c r="C8" s="9" t="str">
        <x:v>Validated outcome count × value per outcome; retain numerator, denominator, and period.</x:v>
      </x:c>
      <x:c r="D8" s="9" t="str">
        <x:v>Compare a measured benefit with product spend when meaningful.</x:v>
      </x:c>
      <x:c r="E8" s="9" t="str">
        <x:v>The Lighthouse row is a hypothetical support-time-saved scenario, not validated ROI.</x:v>
      </x:c>
    </x:row>
    <x:row r="9" ht="47" customHeight="1">
      <x:c r="A9" s="9" t="str">
        <x:v>Estimated ROI</x:v>
      </x:c>
      <x:c r="B9" s="9" t="str">
        <x:v>(Estimated monthly customer value − monthly product spend) ÷ monthly product spend.</x:v>
      </x:c>
      <x:c r="C9" s="9" t="str">
        <x:v>Calculated only when value and spend are known and comparable.</x:v>
      </x:c>
      <x:c r="D9" s="9" t="str">
        <x:v>Context for plan-fit discussion, not an automatic action trigger.</x:v>
      </x:c>
      <x:c r="E9" s="9" t="str">
        <x:v>Does not subtract implementation or operating costs. Labor savings are a proxy, not realized cash benefit.</x:v>
      </x:c>
    </x:row>
    <x:row r="10" ht="47" customHeight="1">
      <x:c r="A10" s="9" t="str">
        <x:v>Lifecycle risk flag</x:v>
      </x:c>
      <x:c r="B10" s="9" t="str">
        <x:v>A descriptive rule-based indicator with the evidence that triggered it.</x:v>
      </x:c>
      <x:c r="C10" s="9" t="str">
        <x:v>Instrumented events with timestamps, freshness, and coverage.</x:v>
      </x:c>
      <x:c r="D10" s="9" t="str">
        <x:v>Prioritize troubleshooting or value realization.</x:v>
      </x:c>
      <x:c r="E10" s="9" t="str">
        <x:v>A risk flag is not a churn probability or calibrated score.</x:v>
      </x:c>
    </x:row>
    <x:row r="11" ht="47" customHeight="1">
      <x:c r="A11" s="9" t="str">
        <x:v>Illustrative churn-risk score</x:v>
      </x:c>
      <x:c r="B11" s="9" t="str">
        <x:v>Hand-assigned 0–100 scenario prioritization score; not a probability or trained model output.</x:v>
      </x:c>
      <x:c r="C11" s="9" t="str">
        <x:v>For a future real model: mature cohorts, explicit churn label and horizon, point-in-time product/account features, and out-of-time validation.</x:v>
      </x:c>
      <x:c r="D11" s="9" t="str">
        <x:v>Prioritize human-reviewed value recovery after validating evidence; never use a demo score as a standalone promotion trigger.</x:v>
      </x:c>
      <x:c r="E11" s="9" t="str">
        <x:v>All values here are synthetic and uncalibrated. Not a real-customer prediction or a validated score.</x:v>
      </x:c>
    </x:row>
    <x:row r="12" ht="47" customHeight="1">
      <x:c r="A12" s="9" t="str">
        <x:v>Signal provenance</x:v>
      </x:c>
      <x:c r="B12" s="9" t="str">
        <x:v>Whether a value is an observed product event, account statement, assumption, or synthetic example.</x:v>
      </x:c>
      <x:c r="C12" s="9" t="str">
        <x:v>Event catalog and source system metadata.</x:v>
      </x:c>
      <x:c r="D12" s="9" t="str">
        <x:v>Keep evidence separate from hypotheses and avoid false certainty.</x:v>
      </x:c>
      <x:c r="E12" s="9" t="str">
        <x:v>All account rows in this guide are synthetic.</x:v>
      </x:c>
    </x:row>
    <x:row r="13" ht="47" customHeight="1">
      <x:c r="A13" s="9" t="str">
        <x:v>Offer scenario and eligibility</x:v>
      </x:c>
      <x:c r="B13" s="9" t="str">
        <x:v>50% off two months: possible upgrade path after first value plus explicit pricing/upgrade intent or capacity need. One free month: possible retention path only after service recovery in selected high-risk examples.</x:v>
      </x:c>
      <x:c r="C13" s="9" t="str">
        <x:v>Current approved pricing and promotion policy, plus account-level billing eligibility. None is connected in this prototype.</x:v>
      </x:c>
      <x:c r="D13" s="9" t="str">
        <x:v>The PAL may describe an approved, eligible offer only after asking whether the participant wants details; require explicit consent before any later purchase flow.</x:v>
      </x:c>
      <x:c r="E13" s="9" t="str">
        <x:v>Illustrative offers only; terms and eligibility are unknown. The prototype cannot grant, apply, or bill a promotion.</x:v>
      </x:c>
    </x:row>
    <x:row r="14" ht="47" customHeight="1">
      <x:c r="A14" s="9" t="str">
        <x:v>Support ticket status</x:v>
      </x:c>
      <x:c r="B14" s="9" t="str">
        <x:v>Open/resolved state, subject, age, and response target for a ticket.</x:v>
      </x:c>
      <x:c r="C14" s="9" t="str">
        <x:v>Support system with access controls and event timestamps.</x:v>
      </x:c>
      <x:c r="D14" s="9" t="str">
        <x:v>Offer a status check or escalation when appropriate.</x:v>
      </x:c>
      <x:c r="E14" s="9" t="str">
        <x:v>No support ticket data or escalation action is connected.</x:v>
      </x:c>
    </x:row>
    <x:row r="16" ht="26" customHeight="1">
      <x:c r="A16" s="15" t="str">
        <x:v>Scenario Assumption</x:v>
      </x:c>
      <x:c r="B16" s="15" t="str">
        <x:v>Value</x:v>
      </x:c>
      <x:c r="C16" s="15" t="str">
        <x:v>Status</x:v>
      </x:c>
      <x:c r="D16" s="15" t="str">
        <x:v>Interpretation</x:v>
      </x:c>
    </x:row>
    <x:row r="17" ht="32" customHeight="1">
      <x:c r="A17" s="9" t="str">
        <x:v>Lighthouse monthly spend</x:v>
      </x:c>
      <x:c r="B17" s="10" t="n">
        <x:v>299</x:v>
      </x:c>
      <x:c r="C17" s="9" t="str">
        <x:v>Hypothetical placeholder</x:v>
      </x:c>
      <x:c r="D17" s="9" t="str">
        <x:v>Not a Tavus list price or actual customer charge.</x:v>
      </x:c>
    </x:row>
    <x:row r="18" ht="32" customHeight="1">
      <x:c r="A18" s="9" t="str">
        <x:v>Vantage monthly spend</x:v>
      </x:c>
      <x:c r="B18" s="10" t="n">
        <x:v>599</x:v>
      </x:c>
      <x:c r="C18" s="9" t="str">
        <x:v>Hypothetical placeholder</x:v>
      </x:c>
      <x:c r="D18" s="9" t="str">
        <x:v>Not a Tavus list price or actual customer charge.</x:v>
      </x:c>
    </x:row>
    <x:row r="19" ht="32" customHeight="1">
      <x:c r="A19" s="9" t="str">
        <x:v>Lighthouse minutes saved per conversation</x:v>
      </x:c>
      <x:c r="B19" s="9" t="n">
        <x:v>5</x:v>
      </x:c>
      <x:c r="C19" s="9" t="str">
        <x:v>Hypothetical placeholder</x:v>
      </x:c>
      <x:c r="D19" s="9" t="str">
        <x:v>Must be validated with successful, user-relevant support deflection evidence.</x:v>
      </x:c>
    </x:row>
    <x:row r="20" ht="32" customHeight="1">
      <x:c r="A20" s="9" t="str">
        <x:v>Loaded support labor cost per hour</x:v>
      </x:c>
      <x:c r="B20" s="10" t="n">
        <x:v>35</x:v>
      </x:c>
      <x:c r="C20" s="9" t="str">
        <x:v>Hypothetical placeholder</x:v>
      </x:c>
      <x:c r="D20" s="9" t="str">
        <x:v>Replace with an approved customer-specific cost assumption.</x:v>
      </x:c>
    </x:row>
    <x:row r="22">
      <x:c r="A22" s="16" t="str">
        <x:v>ROI example formula</x:v>
      </x:c>
    </x:row>
    <x:row r="23" ht="58" customHeight="1">
      <x:c r="A23" s="19" t="str">
        <x:v>Example formulas</x:v>
      </x:c>
      <x:c r="B23" s="19" t="str">
        <x:v>Monthly value = conversations ÷ observation days × 30 × assumed minutes saved ÷ 60 × assumed labor cost per hour.</x:v>
      </x:c>
      <x:c r="C23" s="19" t="str">
        <x:v>ROI = (monthly value − assumed monthly spend) ÷ assumed monthly spend.</x:v>
      </x:c>
      <x:c r="D23" s="19" t="str">
        <x:v>This is a 30-day run-rate scenario from an 18-day synthetic window.</x:v>
      </x:c>
      <x:c r="E23" s="19" t="str">
        <x:v>Scenario only; not realized cash value or full ROI.</x:v>
      </x:c>
    </x:row>
  </x:sheetData>
  <x:pageMargins left="0.7" right="0.7" top="0.75" bottom="0.75" header="0.3" footer="0.3"/>
</x:worksheet>
</file>